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at Data &amp; Indices" sheetId="1" state="visible" r:id="rId1"/>
    <sheet xmlns:r="http://schemas.openxmlformats.org/officeDocument/2006/relationships" name="Fam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i val="1"/>
    </font>
    <font>
      <name val="Calibri"/>
      <b val="1"/>
      <color rgb="001F4E79"/>
      <sz val="11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b val="1"/>
      <color rgb="001F4E79"/>
      <sz val="15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3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  <xf numFmtId="0" fontId="5" fillId="5" borderId="2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8" fillId="0" borderId="0" pivotButton="0" quotePrefix="0" xfId="0"/>
    <xf numFmtId="10" fontId="0" fillId="3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0" fontId="5" fillId="5" borderId="2" pivotButton="0" quotePrefix="0" xfId="0"/>
    <xf numFmtId="3" fontId="5" fillId="5" borderId="2" pivotButton="0" quotePrefix="0" xfId="0"/>
    <xf numFmtId="164" fontId="5" fillId="5" borderId="2" pivotButton="0" quotePrefix="0" xfId="0"/>
    <xf numFmtId="10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27" customWidth="1" min="9" max="9"/>
    <col width="24" customWidth="1" min="10" max="10"/>
    <col width="26" customWidth="1" min="11" max="11"/>
    <col width="16" customWidth="1" min="12" max="12"/>
  </cols>
  <sheetData>
    <row r="1">
      <c r="A1" s="1" t="inlineStr">
        <is>
          <t>Plant Population &amp; Species Diversity Analysis - Botanical Garden (JU)</t>
        </is>
      </c>
    </row>
    <row r="2">
      <c r="A2" s="2" t="inlineStr">
        <is>
          <t>Realistic Quadrat Field Data with Zero Presence, Dominance Hierarchy, and Diversity Indices</t>
        </is>
      </c>
    </row>
    <row r="3"/>
    <row r="4" ht="28" customHeight="1">
      <c r="A4" s="3" t="inlineStr">
        <is>
          <t>Sl. No.</t>
        </is>
      </c>
      <c r="B4" s="3" t="inlineStr">
        <is>
          <t>Scientific Name</t>
        </is>
      </c>
      <c r="C4" s="3" t="inlineStr">
        <is>
          <t>Family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No. of Individuals (ni)</t>
        </is>
      </c>
      <c r="J4" s="3" t="inlineStr">
        <is>
          <t>Relative Abundance (pi = ni/N)</t>
        </is>
      </c>
      <c r="K4" s="3" t="inlineStr">
        <is>
          <t>ln(pi)</t>
        </is>
      </c>
      <c r="L4" s="3" t="inlineStr">
        <is>
          <t>pi * ln(pi)</t>
        </is>
      </c>
    </row>
    <row r="5" ht="20" customHeight="1">
      <c r="A5" s="4" t="n">
        <v>1</v>
      </c>
      <c r="B5" s="5" t="inlineStr">
        <is>
          <t>Spilanthes acmella</t>
        </is>
      </c>
      <c r="C5" s="6" t="inlineStr">
        <is>
          <t>Asteraceae</t>
        </is>
      </c>
      <c r="D5" s="7" t="n">
        <v>26</v>
      </c>
      <c r="E5" s="7" t="n">
        <v>32</v>
      </c>
      <c r="F5" s="7" t="n">
        <v>21</v>
      </c>
      <c r="G5" s="7" t="n">
        <v>38</v>
      </c>
      <c r="H5" s="7" t="n">
        <v>44</v>
      </c>
      <c r="I5" s="7">
        <f>SUM(D5:H5)</f>
        <v/>
      </c>
      <c r="J5" s="8">
        <f>I5/$I$51</f>
        <v/>
      </c>
      <c r="K5" s="8">
        <f>IF(J5&gt;0, LN(J5), 0)</f>
        <v/>
      </c>
      <c r="L5" s="8">
        <f>IF(J5&gt;0, J5*K5, 0)</f>
        <v/>
      </c>
    </row>
    <row r="6" ht="20" customHeight="1">
      <c r="A6" s="9" t="n">
        <v>2</v>
      </c>
      <c r="B6" s="10" t="inlineStr">
        <is>
          <t>Cynodon dactylon</t>
        </is>
      </c>
      <c r="C6" s="11" t="inlineStr">
        <is>
          <t>Poaceae</t>
        </is>
      </c>
      <c r="D6" s="12" t="n">
        <v>26</v>
      </c>
      <c r="E6" s="12" t="n">
        <v>30</v>
      </c>
      <c r="F6" s="12" t="n">
        <v>24</v>
      </c>
      <c r="G6" s="12" t="n">
        <v>28</v>
      </c>
      <c r="H6" s="12" t="n">
        <v>23</v>
      </c>
      <c r="I6" s="12">
        <f>SUM(D6:H6)</f>
        <v/>
      </c>
      <c r="J6" s="13">
        <f>I6/$I$51</f>
        <v/>
      </c>
      <c r="K6" s="13">
        <f>IF(J6&gt;0, LN(J6), 0)</f>
        <v/>
      </c>
      <c r="L6" s="13">
        <f>IF(J6&gt;0, J6*K6, 0)</f>
        <v/>
      </c>
    </row>
    <row r="7" ht="20" customHeight="1">
      <c r="A7" s="4" t="n">
        <v>3</v>
      </c>
      <c r="B7" s="5" t="inlineStr">
        <is>
          <t>Wedelia trilobata</t>
        </is>
      </c>
      <c r="C7" s="6" t="inlineStr">
        <is>
          <t>Asteraceae</t>
        </is>
      </c>
      <c r="D7" s="7" t="n">
        <v>19</v>
      </c>
      <c r="E7" s="7" t="n">
        <v>23</v>
      </c>
      <c r="F7" s="7" t="n">
        <v>36</v>
      </c>
      <c r="G7" s="7" t="n">
        <v>43</v>
      </c>
      <c r="H7" s="7" t="n">
        <v>43</v>
      </c>
      <c r="I7" s="7">
        <f>SUM(D7:H7)</f>
        <v/>
      </c>
      <c r="J7" s="8">
        <f>I7/$I$51</f>
        <v/>
      </c>
      <c r="K7" s="8">
        <f>IF(J7&gt;0, LN(J7), 0)</f>
        <v/>
      </c>
      <c r="L7" s="8">
        <f>IF(J7&gt;0, J7*K7, 0)</f>
        <v/>
      </c>
    </row>
    <row r="8" ht="20" customHeight="1">
      <c r="A8" s="9" t="n">
        <v>4</v>
      </c>
      <c r="B8" s="10" t="inlineStr">
        <is>
          <t>Mimosa pudica</t>
        </is>
      </c>
      <c r="C8" s="11" t="inlineStr">
        <is>
          <t>Fabaceae</t>
        </is>
      </c>
      <c r="D8" s="12" t="n">
        <v>5</v>
      </c>
      <c r="E8" s="12" t="n">
        <v>12</v>
      </c>
      <c r="F8" s="12" t="n">
        <v>8</v>
      </c>
      <c r="G8" s="12" t="n">
        <v>5</v>
      </c>
      <c r="H8" s="12" t="n">
        <v>18</v>
      </c>
      <c r="I8" s="12">
        <f>SUM(D8:H8)</f>
        <v/>
      </c>
      <c r="J8" s="13">
        <f>I8/$I$51</f>
        <v/>
      </c>
      <c r="K8" s="13">
        <f>IF(J8&gt;0, LN(J8), 0)</f>
        <v/>
      </c>
      <c r="L8" s="13">
        <f>IF(J8&gt;0, J8*K8, 0)</f>
        <v/>
      </c>
    </row>
    <row r="9" ht="20" customHeight="1">
      <c r="A9" s="4" t="n">
        <v>5</v>
      </c>
      <c r="B9" s="5" t="inlineStr">
        <is>
          <t>Centella asiatica</t>
        </is>
      </c>
      <c r="C9" s="6" t="inlineStr">
        <is>
          <t>Apiaceae</t>
        </is>
      </c>
      <c r="D9" s="7" t="n">
        <v>22</v>
      </c>
      <c r="E9" s="7" t="n">
        <v>8</v>
      </c>
      <c r="F9" s="7" t="n">
        <v>0</v>
      </c>
      <c r="G9" s="7" t="n">
        <v>12</v>
      </c>
      <c r="H9" s="7" t="n">
        <v>18</v>
      </c>
      <c r="I9" s="7">
        <f>SUM(D9:H9)</f>
        <v/>
      </c>
      <c r="J9" s="8">
        <f>I9/$I$51</f>
        <v/>
      </c>
      <c r="K9" s="8">
        <f>IF(J9&gt;0, LN(J9), 0)</f>
        <v/>
      </c>
      <c r="L9" s="8">
        <f>IF(J9&gt;0, J9*K9, 0)</f>
        <v/>
      </c>
    </row>
    <row r="10" ht="20" customHeight="1">
      <c r="A10" s="9" t="n">
        <v>6</v>
      </c>
      <c r="B10" s="10" t="inlineStr">
        <is>
          <t>Nelsonia canescens</t>
        </is>
      </c>
      <c r="C10" s="11" t="inlineStr">
        <is>
          <t>Acanthaceae</t>
        </is>
      </c>
      <c r="D10" s="12" t="n">
        <v>8</v>
      </c>
      <c r="E10" s="12" t="n">
        <v>12</v>
      </c>
      <c r="F10" s="12" t="n">
        <v>12</v>
      </c>
      <c r="G10" s="12" t="n">
        <v>0</v>
      </c>
      <c r="H10" s="12" t="n">
        <v>5</v>
      </c>
      <c r="I10" s="12">
        <f>SUM(D10:H10)</f>
        <v/>
      </c>
      <c r="J10" s="13">
        <f>I10/$I$51</f>
        <v/>
      </c>
      <c r="K10" s="13">
        <f>IF(J10&gt;0, LN(J10), 0)</f>
        <v/>
      </c>
      <c r="L10" s="13">
        <f>IF(J10&gt;0, J10*K10, 0)</f>
        <v/>
      </c>
    </row>
    <row r="11" ht="20" customHeight="1">
      <c r="A11" s="4" t="n">
        <v>7</v>
      </c>
      <c r="B11" s="5" t="inlineStr">
        <is>
          <t>Hemidesmus indicus</t>
        </is>
      </c>
      <c r="C11" s="6" t="inlineStr">
        <is>
          <t>Apocynaceae</t>
        </is>
      </c>
      <c r="D11" s="7" t="n">
        <v>5</v>
      </c>
      <c r="E11" s="7" t="n">
        <v>22</v>
      </c>
      <c r="F11" s="7" t="n">
        <v>12</v>
      </c>
      <c r="G11" s="7" t="n">
        <v>12</v>
      </c>
      <c r="H11" s="7" t="n">
        <v>18</v>
      </c>
      <c r="I11" s="7">
        <f>SUM(D11:H11)</f>
        <v/>
      </c>
      <c r="J11" s="8">
        <f>I11/$I$51</f>
        <v/>
      </c>
      <c r="K11" s="8">
        <f>IF(J11&gt;0, LN(J11), 0)</f>
        <v/>
      </c>
      <c r="L11" s="8">
        <f>IF(J11&gt;0, J11*K11, 0)</f>
        <v/>
      </c>
    </row>
    <row r="12" ht="20" customHeight="1">
      <c r="A12" s="9" t="n">
        <v>8</v>
      </c>
      <c r="B12" s="10" t="inlineStr">
        <is>
          <t>Ichnocarpus frutescens</t>
        </is>
      </c>
      <c r="C12" s="11" t="inlineStr">
        <is>
          <t>Apocynaceae</t>
        </is>
      </c>
      <c r="D12" s="12" t="n">
        <v>12</v>
      </c>
      <c r="E12" s="12" t="n">
        <v>22</v>
      </c>
      <c r="F12" s="12" t="n">
        <v>18</v>
      </c>
      <c r="G12" s="12" t="n">
        <v>12</v>
      </c>
      <c r="H12" s="12" t="n">
        <v>8</v>
      </c>
      <c r="I12" s="12">
        <f>SUM(D12:H12)</f>
        <v/>
      </c>
      <c r="J12" s="13">
        <f>I12/$I$51</f>
        <v/>
      </c>
      <c r="K12" s="13">
        <f>IF(J12&gt;0, LN(J12), 0)</f>
        <v/>
      </c>
      <c r="L12" s="13">
        <f>IF(J12&gt;0, J12*K12, 0)</f>
        <v/>
      </c>
    </row>
    <row r="13" ht="20" customHeight="1">
      <c r="A13" s="4" t="n">
        <v>9</v>
      </c>
      <c r="B13" s="5" t="inlineStr">
        <is>
          <t>Blumea lacera</t>
        </is>
      </c>
      <c r="C13" s="6" t="inlineStr">
        <is>
          <t>Asteraceae</t>
        </is>
      </c>
      <c r="D13" s="7" t="n">
        <v>22</v>
      </c>
      <c r="E13" s="7" t="n">
        <v>8</v>
      </c>
      <c r="F13" s="7" t="n">
        <v>18</v>
      </c>
      <c r="G13" s="7" t="n">
        <v>18</v>
      </c>
      <c r="H13" s="7" t="n">
        <v>12</v>
      </c>
      <c r="I13" s="7">
        <f>SUM(D13:H13)</f>
        <v/>
      </c>
      <c r="J13" s="8">
        <f>I13/$I$51</f>
        <v/>
      </c>
      <c r="K13" s="8">
        <f>IF(J13&gt;0, LN(J13), 0)</f>
        <v/>
      </c>
      <c r="L13" s="8">
        <f>IF(J13&gt;0, J13*K13, 0)</f>
        <v/>
      </c>
    </row>
    <row r="14" ht="20" customHeight="1">
      <c r="A14" s="9" t="n">
        <v>10</v>
      </c>
      <c r="B14" s="10" t="inlineStr">
        <is>
          <t>Cleome rutidosperma</t>
        </is>
      </c>
      <c r="C14" s="11" t="inlineStr">
        <is>
          <t>Cleomaceae</t>
        </is>
      </c>
      <c r="D14" s="12" t="n">
        <v>22</v>
      </c>
      <c r="E14" s="12" t="n">
        <v>0</v>
      </c>
      <c r="F14" s="12" t="n">
        <v>5</v>
      </c>
      <c r="G14" s="12" t="n">
        <v>18</v>
      </c>
      <c r="H14" s="12" t="n">
        <v>18</v>
      </c>
      <c r="I14" s="12">
        <f>SUM(D14:H14)</f>
        <v/>
      </c>
      <c r="J14" s="13">
        <f>I14/$I$51</f>
        <v/>
      </c>
      <c r="K14" s="13">
        <f>IF(J14&gt;0, LN(J14), 0)</f>
        <v/>
      </c>
      <c r="L14" s="13">
        <f>IF(J14&gt;0, J14*K14, 0)</f>
        <v/>
      </c>
    </row>
    <row r="15" ht="20" customHeight="1">
      <c r="A15" s="4" t="n">
        <v>11</v>
      </c>
      <c r="B15" s="5" t="inlineStr">
        <is>
          <t>Persicaria hydropiper</t>
        </is>
      </c>
      <c r="C15" s="6" t="inlineStr">
        <is>
          <t>Polygonaceae</t>
        </is>
      </c>
      <c r="D15" s="7" t="n">
        <v>0</v>
      </c>
      <c r="E15" s="7" t="n">
        <v>0</v>
      </c>
      <c r="F15" s="7" t="n">
        <v>2</v>
      </c>
      <c r="G15" s="7" t="n">
        <v>0</v>
      </c>
      <c r="H15" s="7" t="n">
        <v>2</v>
      </c>
      <c r="I15" s="7">
        <f>SUM(D15:H15)</f>
        <v/>
      </c>
      <c r="J15" s="8">
        <f>I15/$I$51</f>
        <v/>
      </c>
      <c r="K15" s="8">
        <f>IF(J15&gt;0, LN(J15), 0)</f>
        <v/>
      </c>
      <c r="L15" s="8">
        <f>IF(J15&gt;0, J15*K15, 0)</f>
        <v/>
      </c>
    </row>
    <row r="16" ht="20" customHeight="1">
      <c r="A16" s="9" t="n">
        <v>12</v>
      </c>
      <c r="B16" s="10" t="inlineStr">
        <is>
          <t>Mikania cordata</t>
        </is>
      </c>
      <c r="C16" s="11" t="inlineStr">
        <is>
          <t>Asteraceae</t>
        </is>
      </c>
      <c r="D16" s="12" t="n">
        <v>1</v>
      </c>
      <c r="E16" s="12" t="n">
        <v>2</v>
      </c>
      <c r="F16" s="12" t="n">
        <v>1</v>
      </c>
      <c r="G16" s="12" t="n">
        <v>0</v>
      </c>
      <c r="H16" s="12" t="n">
        <v>0</v>
      </c>
      <c r="I16" s="12">
        <f>SUM(D16:H16)</f>
        <v/>
      </c>
      <c r="J16" s="13">
        <f>I16/$I$51</f>
        <v/>
      </c>
      <c r="K16" s="13">
        <f>IF(J16&gt;0, LN(J16), 0)</f>
        <v/>
      </c>
      <c r="L16" s="13">
        <f>IF(J16&gt;0, J16*K16, 0)</f>
        <v/>
      </c>
    </row>
    <row r="17" ht="20" customHeight="1">
      <c r="A17" s="4" t="n">
        <v>13</v>
      </c>
      <c r="B17" s="5" t="inlineStr">
        <is>
          <t>Alternanthera sessilis</t>
        </is>
      </c>
      <c r="C17" s="6" t="inlineStr">
        <is>
          <t>Amaranthaceae</t>
        </is>
      </c>
      <c r="D17" s="7" t="n">
        <v>1</v>
      </c>
      <c r="E17" s="7" t="n">
        <v>0</v>
      </c>
      <c r="F17" s="7" t="n">
        <v>1</v>
      </c>
      <c r="G17" s="7" t="n">
        <v>0</v>
      </c>
      <c r="H17" s="7" t="n">
        <v>0</v>
      </c>
      <c r="I17" s="7">
        <f>SUM(D17:H17)</f>
        <v/>
      </c>
      <c r="J17" s="8">
        <f>I17/$I$51</f>
        <v/>
      </c>
      <c r="K17" s="8">
        <f>IF(J17&gt;0, LN(J17), 0)</f>
        <v/>
      </c>
      <c r="L17" s="8">
        <f>IF(J17&gt;0, J17*K17, 0)</f>
        <v/>
      </c>
    </row>
    <row r="18" ht="20" customHeight="1">
      <c r="A18" s="9" t="n">
        <v>14</v>
      </c>
      <c r="B18" s="10" t="inlineStr">
        <is>
          <t>Ageratum conyzoides</t>
        </is>
      </c>
      <c r="C18" s="11" t="inlineStr">
        <is>
          <t>Asteraceae</t>
        </is>
      </c>
      <c r="D18" s="12" t="n">
        <v>0</v>
      </c>
      <c r="E18" s="12" t="n">
        <v>1</v>
      </c>
      <c r="F18" s="12" t="n">
        <v>4</v>
      </c>
      <c r="G18" s="12" t="n">
        <v>6</v>
      </c>
      <c r="H18" s="12" t="n">
        <v>1</v>
      </c>
      <c r="I18" s="12">
        <f>SUM(D18:H18)</f>
        <v/>
      </c>
      <c r="J18" s="13">
        <f>I18/$I$51</f>
        <v/>
      </c>
      <c r="K18" s="13">
        <f>IF(J18&gt;0, LN(J18), 0)</f>
        <v/>
      </c>
      <c r="L18" s="13">
        <f>IF(J18&gt;0, J18*K18, 0)</f>
        <v/>
      </c>
    </row>
    <row r="19" ht="20" customHeight="1">
      <c r="A19" s="4" t="n">
        <v>15</v>
      </c>
      <c r="B19" s="5" t="inlineStr">
        <is>
          <t>Amaranthus viridis</t>
        </is>
      </c>
      <c r="C19" s="6" t="inlineStr">
        <is>
          <t>Amaranthaceae</t>
        </is>
      </c>
      <c r="D19" s="7" t="n">
        <v>1</v>
      </c>
      <c r="E19" s="7" t="n">
        <v>2</v>
      </c>
      <c r="F19" s="7" t="n">
        <v>0</v>
      </c>
      <c r="G19" s="7" t="n">
        <v>0</v>
      </c>
      <c r="H19" s="7" t="n">
        <v>0</v>
      </c>
      <c r="I19" s="7">
        <f>SUM(D19:H19)</f>
        <v/>
      </c>
      <c r="J19" s="8">
        <f>I19/$I$51</f>
        <v/>
      </c>
      <c r="K19" s="8">
        <f>IF(J19&gt;0, LN(J19), 0)</f>
        <v/>
      </c>
      <c r="L19" s="8">
        <f>IF(J19&gt;0, J19*K19, 0)</f>
        <v/>
      </c>
    </row>
    <row r="20" ht="20" customHeight="1">
      <c r="A20" s="9" t="n">
        <v>16</v>
      </c>
      <c r="B20" s="10" t="inlineStr">
        <is>
          <t>Amaranthus spinosus</t>
        </is>
      </c>
      <c r="C20" s="11" t="inlineStr">
        <is>
          <t>Amaranthaceae</t>
        </is>
      </c>
      <c r="D20" s="12" t="n">
        <v>2</v>
      </c>
      <c r="E20" s="12" t="n">
        <v>4</v>
      </c>
      <c r="F20" s="12" t="n">
        <v>2</v>
      </c>
      <c r="G20" s="12" t="n">
        <v>2</v>
      </c>
      <c r="H20" s="12" t="n">
        <v>1</v>
      </c>
      <c r="I20" s="12">
        <f>SUM(D20:H20)</f>
        <v/>
      </c>
      <c r="J20" s="13">
        <f>I20/$I$51</f>
        <v/>
      </c>
      <c r="K20" s="13">
        <f>IF(J20&gt;0, LN(J20), 0)</f>
        <v/>
      </c>
      <c r="L20" s="13">
        <f>IF(J20&gt;0, J20*K20, 0)</f>
        <v/>
      </c>
    </row>
    <row r="21" ht="20" customHeight="1">
      <c r="A21" s="4" t="n">
        <v>17</v>
      </c>
      <c r="B21" s="5" t="inlineStr">
        <is>
          <t>Lantana camara</t>
        </is>
      </c>
      <c r="C21" s="6" t="inlineStr">
        <is>
          <t>Verbenaceae</t>
        </is>
      </c>
      <c r="D21" s="7" t="n">
        <v>2</v>
      </c>
      <c r="E21" s="7" t="n">
        <v>0</v>
      </c>
      <c r="F21" s="7" t="n">
        <v>2</v>
      </c>
      <c r="G21" s="7" t="n">
        <v>1</v>
      </c>
      <c r="H21" s="7" t="n">
        <v>2</v>
      </c>
      <c r="I21" s="7">
        <f>SUM(D21:H21)</f>
        <v/>
      </c>
      <c r="J21" s="8">
        <f>I21/$I$51</f>
        <v/>
      </c>
      <c r="K21" s="8">
        <f>IF(J21&gt;0, LN(J21), 0)</f>
        <v/>
      </c>
      <c r="L21" s="8">
        <f>IF(J21&gt;0, J21*K21, 0)</f>
        <v/>
      </c>
    </row>
    <row r="22" ht="20" customHeight="1">
      <c r="A22" s="9" t="n">
        <v>18</v>
      </c>
      <c r="B22" s="10" t="inlineStr">
        <is>
          <t>Mazus rugosus</t>
        </is>
      </c>
      <c r="C22" s="11" t="inlineStr">
        <is>
          <t>Mazaceae</t>
        </is>
      </c>
      <c r="D22" s="12" t="n">
        <v>0</v>
      </c>
      <c r="E22" s="12" t="n">
        <v>2</v>
      </c>
      <c r="F22" s="12" t="n">
        <v>2</v>
      </c>
      <c r="G22" s="12" t="n">
        <v>2</v>
      </c>
      <c r="H22" s="12" t="n">
        <v>1</v>
      </c>
      <c r="I22" s="12">
        <f>SUM(D22:H22)</f>
        <v/>
      </c>
      <c r="J22" s="13">
        <f>I22/$I$51</f>
        <v/>
      </c>
      <c r="K22" s="13">
        <f>IF(J22&gt;0, LN(J22), 0)</f>
        <v/>
      </c>
      <c r="L22" s="13">
        <f>IF(J22&gt;0, J22*K22, 0)</f>
        <v/>
      </c>
    </row>
    <row r="23" ht="20" customHeight="1">
      <c r="A23" s="4" t="n">
        <v>19</v>
      </c>
      <c r="B23" s="5" t="inlineStr">
        <is>
          <t>Peperomia pellucida</t>
        </is>
      </c>
      <c r="C23" s="6" t="inlineStr">
        <is>
          <t>Piperaceae</t>
        </is>
      </c>
      <c r="D23" s="7" t="n">
        <v>9</v>
      </c>
      <c r="E23" s="7" t="n">
        <v>0</v>
      </c>
      <c r="F23" s="7" t="n">
        <v>0</v>
      </c>
      <c r="G23" s="7" t="n">
        <v>0</v>
      </c>
      <c r="H23" s="7" t="n">
        <v>0</v>
      </c>
      <c r="I23" s="7">
        <f>SUM(D23:H23)</f>
        <v/>
      </c>
      <c r="J23" s="8">
        <f>I23/$I$51</f>
        <v/>
      </c>
      <c r="K23" s="8">
        <f>IF(J23&gt;0, LN(J23), 0)</f>
        <v/>
      </c>
      <c r="L23" s="8">
        <f>IF(J23&gt;0, J23*K23, 0)</f>
        <v/>
      </c>
    </row>
    <row r="24" ht="20" customHeight="1">
      <c r="A24" s="9" t="n">
        <v>20</v>
      </c>
      <c r="B24" s="10" t="inlineStr">
        <is>
          <t>Richardia scabra</t>
        </is>
      </c>
      <c r="C24" s="11" t="inlineStr">
        <is>
          <t>Rubiaceae</t>
        </is>
      </c>
      <c r="D24" s="12" t="n">
        <v>6</v>
      </c>
      <c r="E24" s="12" t="n">
        <v>0</v>
      </c>
      <c r="F24" s="12" t="n">
        <v>2</v>
      </c>
      <c r="G24" s="12" t="n">
        <v>2</v>
      </c>
      <c r="H24" s="12" t="n">
        <v>0</v>
      </c>
      <c r="I24" s="12">
        <f>SUM(D24:H24)</f>
        <v/>
      </c>
      <c r="J24" s="13">
        <f>I24/$I$51</f>
        <v/>
      </c>
      <c r="K24" s="13">
        <f>IF(J24&gt;0, LN(J24), 0)</f>
        <v/>
      </c>
      <c r="L24" s="13">
        <f>IF(J24&gt;0, J24*K24, 0)</f>
        <v/>
      </c>
    </row>
    <row r="25" ht="20" customHeight="1">
      <c r="A25" s="4" t="n">
        <v>21</v>
      </c>
      <c r="B25" s="5" t="inlineStr">
        <is>
          <t>Scoparia dulcis</t>
        </is>
      </c>
      <c r="C25" s="6" t="inlineStr">
        <is>
          <t>Plantaginaceae</t>
        </is>
      </c>
      <c r="D25" s="7" t="n">
        <v>0</v>
      </c>
      <c r="E25" s="7" t="n">
        <v>4</v>
      </c>
      <c r="F25" s="7" t="n">
        <v>0</v>
      </c>
      <c r="G25" s="7" t="n">
        <v>1</v>
      </c>
      <c r="H25" s="7" t="n">
        <v>2</v>
      </c>
      <c r="I25" s="7">
        <f>SUM(D25:H25)</f>
        <v/>
      </c>
      <c r="J25" s="8">
        <f>I25/$I$51</f>
        <v/>
      </c>
      <c r="K25" s="8">
        <f>IF(J25&gt;0, LN(J25), 0)</f>
        <v/>
      </c>
      <c r="L25" s="8">
        <f>IF(J25&gt;0, J25*K25, 0)</f>
        <v/>
      </c>
    </row>
    <row r="26" ht="20" customHeight="1">
      <c r="A26" s="9" t="n">
        <v>22</v>
      </c>
      <c r="B26" s="10" t="inlineStr">
        <is>
          <t>Urena lobata</t>
        </is>
      </c>
      <c r="C26" s="11" t="inlineStr">
        <is>
          <t>Malvaceae</t>
        </is>
      </c>
      <c r="D26" s="12" t="n">
        <v>2</v>
      </c>
      <c r="E26" s="12" t="n">
        <v>2</v>
      </c>
      <c r="F26" s="12" t="n">
        <v>0</v>
      </c>
      <c r="G26" s="12" t="n">
        <v>1</v>
      </c>
      <c r="H26" s="12" t="n">
        <v>0</v>
      </c>
      <c r="I26" s="12">
        <f>SUM(D26:H26)</f>
        <v/>
      </c>
      <c r="J26" s="13">
        <f>I26/$I$51</f>
        <v/>
      </c>
      <c r="K26" s="13">
        <f>IF(J26&gt;0, LN(J26), 0)</f>
        <v/>
      </c>
      <c r="L26" s="13">
        <f>IF(J26&gt;0, J26*K26, 0)</f>
        <v/>
      </c>
    </row>
    <row r="27" ht="20" customHeight="1">
      <c r="A27" s="4" t="n">
        <v>23</v>
      </c>
      <c r="B27" s="5" t="inlineStr">
        <is>
          <t>Vernonia cinerea</t>
        </is>
      </c>
      <c r="C27" s="6" t="inlineStr">
        <is>
          <t>Asteraceae</t>
        </is>
      </c>
      <c r="D27" s="7" t="n">
        <v>9</v>
      </c>
      <c r="E27" s="7" t="n">
        <v>0</v>
      </c>
      <c r="F27" s="7" t="n">
        <v>0</v>
      </c>
      <c r="G27" s="7" t="n">
        <v>0</v>
      </c>
      <c r="H27" s="7" t="n">
        <v>6</v>
      </c>
      <c r="I27" s="7">
        <f>SUM(D27:H27)</f>
        <v/>
      </c>
      <c r="J27" s="8">
        <f>I27/$I$51</f>
        <v/>
      </c>
      <c r="K27" s="8">
        <f>IF(J27&gt;0, LN(J27), 0)</f>
        <v/>
      </c>
      <c r="L27" s="8">
        <f>IF(J27&gt;0, J27*K27, 0)</f>
        <v/>
      </c>
    </row>
    <row r="28" ht="20" customHeight="1">
      <c r="A28" s="9" t="n">
        <v>24</v>
      </c>
      <c r="B28" s="10" t="inlineStr">
        <is>
          <t>Desmodium triflorum</t>
        </is>
      </c>
      <c r="C28" s="11" t="inlineStr">
        <is>
          <t>Fabaceae</t>
        </is>
      </c>
      <c r="D28" s="12" t="n">
        <v>0</v>
      </c>
      <c r="E28" s="12" t="n">
        <v>2</v>
      </c>
      <c r="F28" s="12" t="n">
        <v>6</v>
      </c>
      <c r="G28" s="12" t="n">
        <v>2</v>
      </c>
      <c r="H28" s="12" t="n">
        <v>0</v>
      </c>
      <c r="I28" s="12">
        <f>SUM(D28:H28)</f>
        <v/>
      </c>
      <c r="J28" s="13">
        <f>I28/$I$51</f>
        <v/>
      </c>
      <c r="K28" s="13">
        <f>IF(J28&gt;0, LN(J28), 0)</f>
        <v/>
      </c>
      <c r="L28" s="13">
        <f>IF(J28&gt;0, J28*K28, 0)</f>
        <v/>
      </c>
    </row>
    <row r="29" ht="20" customHeight="1">
      <c r="A29" s="4" t="n">
        <v>25</v>
      </c>
      <c r="B29" s="5" t="inlineStr">
        <is>
          <t>Eclipta alba</t>
        </is>
      </c>
      <c r="C29" s="6" t="inlineStr">
        <is>
          <t>Asteraceae</t>
        </is>
      </c>
      <c r="D29" s="7" t="n">
        <v>6</v>
      </c>
      <c r="E29" s="7" t="n">
        <v>2</v>
      </c>
      <c r="F29" s="7" t="n">
        <v>0</v>
      </c>
      <c r="G29" s="7" t="n">
        <v>4</v>
      </c>
      <c r="H29" s="7" t="n">
        <v>2</v>
      </c>
      <c r="I29" s="7">
        <f>SUM(D29:H29)</f>
        <v/>
      </c>
      <c r="J29" s="8">
        <f>I29/$I$51</f>
        <v/>
      </c>
      <c r="K29" s="8">
        <f>IF(J29&gt;0, LN(J29), 0)</f>
        <v/>
      </c>
      <c r="L29" s="8">
        <f>IF(J29&gt;0, J29*K29, 0)</f>
        <v/>
      </c>
    </row>
    <row r="30" ht="20" customHeight="1">
      <c r="A30" s="9" t="n">
        <v>26</v>
      </c>
      <c r="B30" s="10" t="inlineStr">
        <is>
          <t>Oxalis corniculata</t>
        </is>
      </c>
      <c r="C30" s="11" t="inlineStr">
        <is>
          <t>Oxalidaceae</t>
        </is>
      </c>
      <c r="D30" s="12" t="n">
        <v>0</v>
      </c>
      <c r="E30" s="12" t="n">
        <v>0</v>
      </c>
      <c r="F30" s="12" t="n">
        <v>1</v>
      </c>
      <c r="G30" s="12" t="n">
        <v>1</v>
      </c>
      <c r="H30" s="12" t="n">
        <v>0</v>
      </c>
      <c r="I30" s="12">
        <f>SUM(D30:H30)</f>
        <v/>
      </c>
      <c r="J30" s="13">
        <f>I30/$I$51</f>
        <v/>
      </c>
      <c r="K30" s="13">
        <f>IF(J30&gt;0, LN(J30), 0)</f>
        <v/>
      </c>
      <c r="L30" s="13">
        <f>IF(J30&gt;0, J30*K30, 0)</f>
        <v/>
      </c>
    </row>
    <row r="31" ht="20" customHeight="1">
      <c r="A31" s="4" t="n">
        <v>27</v>
      </c>
      <c r="B31" s="5" t="inlineStr">
        <is>
          <t>Marsilea quadrifolia</t>
        </is>
      </c>
      <c r="C31" s="6" t="inlineStr">
        <is>
          <t>Marsileaceae</t>
        </is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>
        <f>SUM(D31:H31)</f>
        <v/>
      </c>
      <c r="J31" s="8">
        <f>I31/$I$51</f>
        <v/>
      </c>
      <c r="K31" s="8">
        <f>IF(J31&gt;0, LN(J31), 0)</f>
        <v/>
      </c>
      <c r="L31" s="8">
        <f>IF(J31&gt;0, J31*K31, 0)</f>
        <v/>
      </c>
    </row>
    <row r="32" ht="20" customHeight="1">
      <c r="A32" s="9" t="n">
        <v>28</v>
      </c>
      <c r="B32" s="10" t="inlineStr">
        <is>
          <t>Leersia hexandra</t>
        </is>
      </c>
      <c r="C32" s="11" t="inlineStr">
        <is>
          <t>Poaceae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3</v>
      </c>
      <c r="I32" s="12">
        <f>SUM(D32:H32)</f>
        <v/>
      </c>
      <c r="J32" s="13">
        <f>I32/$I$51</f>
        <v/>
      </c>
      <c r="K32" s="13">
        <f>IF(J32&gt;0, LN(J32), 0)</f>
        <v/>
      </c>
      <c r="L32" s="13">
        <f>IF(J32&gt;0, J32*K32, 0)</f>
        <v/>
      </c>
    </row>
    <row r="33" ht="20" customHeight="1">
      <c r="A33" s="4" t="n">
        <v>29</v>
      </c>
      <c r="B33" s="5" t="inlineStr">
        <is>
          <t>Eleusine indica</t>
        </is>
      </c>
      <c r="C33" s="6" t="inlineStr">
        <is>
          <t>Poaceae</t>
        </is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2</v>
      </c>
      <c r="I33" s="7">
        <f>SUM(D33:H33)</f>
        <v/>
      </c>
      <c r="J33" s="8">
        <f>I33/$I$51</f>
        <v/>
      </c>
      <c r="K33" s="8">
        <f>IF(J33&gt;0, LN(J33), 0)</f>
        <v/>
      </c>
      <c r="L33" s="8">
        <f>IF(J33&gt;0, J33*K33, 0)</f>
        <v/>
      </c>
    </row>
    <row r="34" ht="20" customHeight="1">
      <c r="A34" s="9" t="n">
        <v>30</v>
      </c>
      <c r="B34" s="10" t="inlineStr">
        <is>
          <t>Clerodendrum infortunatum L.</t>
        </is>
      </c>
      <c r="C34" s="11" t="inlineStr">
        <is>
          <t>Lamiaceae</t>
        </is>
      </c>
      <c r="D34" s="12" t="n">
        <v>0</v>
      </c>
      <c r="E34" s="12" t="n">
        <v>0</v>
      </c>
      <c r="F34" s="12" t="n">
        <v>0</v>
      </c>
      <c r="G34" s="12" t="n">
        <v>1</v>
      </c>
      <c r="H34" s="12" t="n">
        <v>2</v>
      </c>
      <c r="I34" s="12">
        <f>SUM(D34:H34)</f>
        <v/>
      </c>
      <c r="J34" s="13">
        <f>I34/$I$51</f>
        <v/>
      </c>
      <c r="K34" s="13">
        <f>IF(J34&gt;0, LN(J34), 0)</f>
        <v/>
      </c>
      <c r="L34" s="13">
        <f>IF(J34&gt;0, J34*K34, 0)</f>
        <v/>
      </c>
    </row>
    <row r="35" ht="20" customHeight="1">
      <c r="A35" s="4" t="n">
        <v>31</v>
      </c>
      <c r="B35" s="5" t="inlineStr">
        <is>
          <t>Axonopus compressus</t>
        </is>
      </c>
      <c r="C35" s="6" t="inlineStr">
        <is>
          <t>Poaceae</t>
        </is>
      </c>
      <c r="D35" s="7" t="n">
        <v>0</v>
      </c>
      <c r="E35" s="7" t="n">
        <v>0</v>
      </c>
      <c r="F35" s="7" t="n">
        <v>2</v>
      </c>
      <c r="G35" s="7" t="n">
        <v>0</v>
      </c>
      <c r="H35" s="7" t="n">
        <v>0</v>
      </c>
      <c r="I35" s="7">
        <f>SUM(D35:H35)</f>
        <v/>
      </c>
      <c r="J35" s="8">
        <f>I35/$I$51</f>
        <v/>
      </c>
      <c r="K35" s="8">
        <f>IF(J35&gt;0, LN(J35), 0)</f>
        <v/>
      </c>
      <c r="L35" s="8">
        <f>IF(J35&gt;0, J35*K35, 0)</f>
        <v/>
      </c>
    </row>
    <row r="36" ht="20" customHeight="1">
      <c r="A36" s="9" t="n">
        <v>32</v>
      </c>
      <c r="B36" s="10" t="inlineStr">
        <is>
          <t>Panicum repens</t>
        </is>
      </c>
      <c r="C36" s="11" t="inlineStr">
        <is>
          <t>Poaceae</t>
        </is>
      </c>
      <c r="D36" s="12" t="n">
        <v>2</v>
      </c>
      <c r="E36" s="12" t="n">
        <v>0</v>
      </c>
      <c r="F36" s="12" t="n">
        <v>1</v>
      </c>
      <c r="G36" s="12" t="n">
        <v>0</v>
      </c>
      <c r="H36" s="12" t="n">
        <v>2</v>
      </c>
      <c r="I36" s="12">
        <f>SUM(D36:H36)</f>
        <v/>
      </c>
      <c r="J36" s="13">
        <f>I36/$I$51</f>
        <v/>
      </c>
      <c r="K36" s="13">
        <f>IF(J36&gt;0, LN(J36), 0)</f>
        <v/>
      </c>
      <c r="L36" s="13">
        <f>IF(J36&gt;0, J36*K36, 0)</f>
        <v/>
      </c>
    </row>
    <row r="37" ht="20" customHeight="1">
      <c r="A37" s="4" t="n">
        <v>33</v>
      </c>
      <c r="B37" s="5" t="inlineStr">
        <is>
          <t>Phyllanthus niruri</t>
        </is>
      </c>
      <c r="C37" s="6" t="inlineStr">
        <is>
          <t>Phyllanthaceae</t>
        </is>
      </c>
      <c r="D37" s="7" t="n">
        <v>0</v>
      </c>
      <c r="E37" s="7" t="n">
        <v>0</v>
      </c>
      <c r="F37" s="7" t="n">
        <v>2</v>
      </c>
      <c r="G37" s="7" t="n">
        <v>3</v>
      </c>
      <c r="H37" s="7" t="n">
        <v>0</v>
      </c>
      <c r="I37" s="7">
        <f>SUM(D37:H37)</f>
        <v/>
      </c>
      <c r="J37" s="8">
        <f>I37/$I$51</f>
        <v/>
      </c>
      <c r="K37" s="8">
        <f>IF(J37&gt;0, LN(J37), 0)</f>
        <v/>
      </c>
      <c r="L37" s="8">
        <f>IF(J37&gt;0, J37*K37, 0)</f>
        <v/>
      </c>
    </row>
    <row r="38" ht="20" customHeight="1">
      <c r="A38" s="9" t="n">
        <v>34</v>
      </c>
      <c r="B38" s="10" t="inlineStr">
        <is>
          <t>Phyllanthus reticulatus</t>
        </is>
      </c>
      <c r="C38" s="11" t="inlineStr">
        <is>
          <t>Phyllanthaceae</t>
        </is>
      </c>
      <c r="D38" s="12" t="n">
        <v>2</v>
      </c>
      <c r="E38" s="12" t="n">
        <v>0</v>
      </c>
      <c r="F38" s="12" t="n">
        <v>2</v>
      </c>
      <c r="G38" s="12" t="n">
        <v>0</v>
      </c>
      <c r="H38" s="12" t="n">
        <v>0</v>
      </c>
      <c r="I38" s="12">
        <f>SUM(D38:H38)</f>
        <v/>
      </c>
      <c r="J38" s="13">
        <f>I38/$I$51</f>
        <v/>
      </c>
      <c r="K38" s="13">
        <f>IF(J38&gt;0, LN(J38), 0)</f>
        <v/>
      </c>
      <c r="L38" s="13">
        <f>IF(J38&gt;0, J38*K38, 0)</f>
        <v/>
      </c>
    </row>
    <row r="39" ht="20" customHeight="1">
      <c r="A39" s="4" t="n">
        <v>35</v>
      </c>
      <c r="B39" s="5" t="inlineStr">
        <is>
          <t>Nicotiana plumbaginifolia</t>
        </is>
      </c>
      <c r="C39" s="6" t="inlineStr">
        <is>
          <t>Solanaceae</t>
        </is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>
        <f>SUM(D39:H39)</f>
        <v/>
      </c>
      <c r="J39" s="8">
        <f>I39/$I$51</f>
        <v/>
      </c>
      <c r="K39" s="8">
        <f>IF(J39&gt;0, LN(J39), 0)</f>
        <v/>
      </c>
      <c r="L39" s="8">
        <f>IF(J39&gt;0, J39*K39, 0)</f>
        <v/>
      </c>
    </row>
    <row r="40" ht="20" customHeight="1">
      <c r="A40" s="9" t="n">
        <v>36</v>
      </c>
      <c r="B40" s="10" t="inlineStr">
        <is>
          <t>Synedrella nodiflora</t>
        </is>
      </c>
      <c r="C40" s="11" t="inlineStr">
        <is>
          <t>Asteraceae</t>
        </is>
      </c>
      <c r="D40" s="12" t="n">
        <v>1</v>
      </c>
      <c r="E40" s="12" t="n">
        <v>1</v>
      </c>
      <c r="F40" s="12" t="n">
        <v>2</v>
      </c>
      <c r="G40" s="12" t="n">
        <v>0</v>
      </c>
      <c r="H40" s="12" t="n">
        <v>0</v>
      </c>
      <c r="I40" s="12">
        <f>SUM(D40:H40)</f>
        <v/>
      </c>
      <c r="J40" s="13">
        <f>I40/$I$51</f>
        <v/>
      </c>
      <c r="K40" s="13">
        <f>IF(J40&gt;0, LN(J40), 0)</f>
        <v/>
      </c>
      <c r="L40" s="13">
        <f>IF(J40&gt;0, J40*K40, 0)</f>
        <v/>
      </c>
    </row>
    <row r="41" ht="20" customHeight="1">
      <c r="A41" s="4" t="n">
        <v>37</v>
      </c>
      <c r="B41" s="5" t="inlineStr">
        <is>
          <t>Cyperus rotundus</t>
        </is>
      </c>
      <c r="C41" s="6" t="inlineStr">
        <is>
          <t>Cyperaceae</t>
        </is>
      </c>
      <c r="D41" s="7" t="n">
        <v>0</v>
      </c>
      <c r="E41" s="7" t="n">
        <v>0</v>
      </c>
      <c r="F41" s="7" t="n">
        <v>1</v>
      </c>
      <c r="G41" s="7" t="n">
        <v>2</v>
      </c>
      <c r="H41" s="7" t="n">
        <v>2</v>
      </c>
      <c r="I41" s="7">
        <f>SUM(D41:H41)</f>
        <v/>
      </c>
      <c r="J41" s="8">
        <f>I41/$I$51</f>
        <v/>
      </c>
      <c r="K41" s="8">
        <f>IF(J41&gt;0, LN(J41), 0)</f>
        <v/>
      </c>
      <c r="L41" s="8">
        <f>IF(J41&gt;0, J41*K41, 0)</f>
        <v/>
      </c>
    </row>
    <row r="42" ht="20" customHeight="1">
      <c r="A42" s="9" t="n">
        <v>38</v>
      </c>
      <c r="B42" s="10" t="inlineStr">
        <is>
          <t>Stephania japonica</t>
        </is>
      </c>
      <c r="C42" s="11" t="inlineStr">
        <is>
          <t>Menispermaceae</t>
        </is>
      </c>
      <c r="D42" s="12" t="n">
        <v>0</v>
      </c>
      <c r="E42" s="12" t="n">
        <v>2</v>
      </c>
      <c r="F42" s="12" t="n">
        <v>0</v>
      </c>
      <c r="G42" s="12" t="n">
        <v>0</v>
      </c>
      <c r="H42" s="12" t="n">
        <v>0</v>
      </c>
      <c r="I42" s="12">
        <f>SUM(D42:H42)</f>
        <v/>
      </c>
      <c r="J42" s="13">
        <f>I42/$I$51</f>
        <v/>
      </c>
      <c r="K42" s="13">
        <f>IF(J42&gt;0, LN(J42), 0)</f>
        <v/>
      </c>
      <c r="L42" s="13">
        <f>IF(J42&gt;0, J42*K42, 0)</f>
        <v/>
      </c>
    </row>
    <row r="43" ht="20" customHeight="1">
      <c r="A43" s="4" t="n">
        <v>39</v>
      </c>
      <c r="B43" s="5" t="inlineStr">
        <is>
          <t>Hyptis suaveolens</t>
        </is>
      </c>
      <c r="C43" s="6" t="inlineStr">
        <is>
          <t>Lamiaceae</t>
        </is>
      </c>
      <c r="D43" s="7" t="n">
        <v>0</v>
      </c>
      <c r="E43" s="7" t="n">
        <v>0</v>
      </c>
      <c r="F43" s="7" t="n">
        <v>0</v>
      </c>
      <c r="G43" s="7" t="n">
        <v>1</v>
      </c>
      <c r="H43" s="7" t="n">
        <v>0</v>
      </c>
      <c r="I43" s="7">
        <f>SUM(D43:H43)</f>
        <v/>
      </c>
      <c r="J43" s="8">
        <f>I43/$I$51</f>
        <v/>
      </c>
      <c r="K43" s="8">
        <f>IF(J43&gt;0, LN(J43), 0)</f>
        <v/>
      </c>
      <c r="L43" s="8">
        <f>IF(J43&gt;0, J43*K43, 0)</f>
        <v/>
      </c>
    </row>
    <row r="44" ht="20" customHeight="1">
      <c r="A44" s="9" t="n">
        <v>40</v>
      </c>
      <c r="B44" s="10" t="inlineStr">
        <is>
          <t>Cuscuta reflexa</t>
        </is>
      </c>
      <c r="C44" s="11" t="inlineStr">
        <is>
          <t>Convolvulaceae</t>
        </is>
      </c>
      <c r="D44" s="12" t="n">
        <v>2</v>
      </c>
      <c r="E44" s="12" t="n">
        <v>0</v>
      </c>
      <c r="F44" s="12" t="n">
        <v>0</v>
      </c>
      <c r="G44" s="12" t="n">
        <v>0</v>
      </c>
      <c r="H44" s="12" t="n">
        <v>0</v>
      </c>
      <c r="I44" s="12">
        <f>SUM(D44:H44)</f>
        <v/>
      </c>
      <c r="J44" s="13">
        <f>I44/$I$51</f>
        <v/>
      </c>
      <c r="K44" s="13">
        <f>IF(J44&gt;0, LN(J44), 0)</f>
        <v/>
      </c>
      <c r="L44" s="13">
        <f>IF(J44&gt;0, J44*K44, 0)</f>
        <v/>
      </c>
    </row>
    <row r="45" ht="20" customHeight="1">
      <c r="A45" s="4" t="n">
        <v>41</v>
      </c>
      <c r="B45" s="5" t="inlineStr">
        <is>
          <t>Abrus precatorius</t>
        </is>
      </c>
      <c r="C45" s="6" t="inlineStr">
        <is>
          <t>Fabaceae</t>
        </is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2</v>
      </c>
      <c r="I45" s="7">
        <f>SUM(D45:H45)</f>
        <v/>
      </c>
      <c r="J45" s="8">
        <f>I45/$I$51</f>
        <v/>
      </c>
      <c r="K45" s="8">
        <f>IF(J45&gt;0, LN(J45), 0)</f>
        <v/>
      </c>
      <c r="L45" s="8">
        <f>IF(J45&gt;0, J45*K45, 0)</f>
        <v/>
      </c>
    </row>
    <row r="46" ht="20" customHeight="1">
      <c r="A46" s="9" t="n">
        <v>42</v>
      </c>
      <c r="B46" s="10" t="inlineStr">
        <is>
          <t>Rauvolfia serpentina</t>
        </is>
      </c>
      <c r="C46" s="11" t="inlineStr">
        <is>
          <t>Apocynaceae</t>
        </is>
      </c>
      <c r="D46" s="12" t="n">
        <v>0</v>
      </c>
      <c r="E46" s="12" t="n">
        <v>0</v>
      </c>
      <c r="F46" s="12" t="n">
        <v>0</v>
      </c>
      <c r="G46" s="12" t="n">
        <v>1</v>
      </c>
      <c r="H46" s="12" t="n">
        <v>0</v>
      </c>
      <c r="I46" s="12">
        <f>SUM(D46:H46)</f>
        <v/>
      </c>
      <c r="J46" s="13">
        <f>I46/$I$51</f>
        <v/>
      </c>
      <c r="K46" s="13">
        <f>IF(J46&gt;0, LN(J46), 0)</f>
        <v/>
      </c>
      <c r="L46" s="13">
        <f>IF(J46&gt;0, J46*K46, 0)</f>
        <v/>
      </c>
    </row>
    <row r="47" ht="20" customHeight="1">
      <c r="A47" s="4" t="n">
        <v>43</v>
      </c>
      <c r="B47" s="5" t="inlineStr">
        <is>
          <t>Rotheca serrata</t>
        </is>
      </c>
      <c r="C47" s="6" t="inlineStr">
        <is>
          <t>Lamiaceae</t>
        </is>
      </c>
      <c r="D47" s="7" t="n">
        <v>0</v>
      </c>
      <c r="E47" s="7" t="n">
        <v>2</v>
      </c>
      <c r="F47" s="7" t="n">
        <v>0</v>
      </c>
      <c r="G47" s="7" t="n">
        <v>0</v>
      </c>
      <c r="H47" s="7" t="n">
        <v>0</v>
      </c>
      <c r="I47" s="7">
        <f>SUM(D47:H47)</f>
        <v/>
      </c>
      <c r="J47" s="8">
        <f>I47/$I$51</f>
        <v/>
      </c>
      <c r="K47" s="8">
        <f>IF(J47&gt;0, LN(J47), 0)</f>
        <v/>
      </c>
      <c r="L47" s="8">
        <f>IF(J47&gt;0, J47*K47, 0)</f>
        <v/>
      </c>
    </row>
    <row r="48" ht="20" customHeight="1">
      <c r="A48" s="9" t="n">
        <v>44</v>
      </c>
      <c r="B48" s="10" t="inlineStr">
        <is>
          <t>Ruellia prostrata</t>
        </is>
      </c>
      <c r="C48" s="11" t="inlineStr">
        <is>
          <t>Acanthaceae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2</v>
      </c>
      <c r="I48" s="12">
        <f>SUM(D48:H48)</f>
        <v/>
      </c>
      <c r="J48" s="13">
        <f>I48/$I$51</f>
        <v/>
      </c>
      <c r="K48" s="13">
        <f>IF(J48&gt;0, LN(J48), 0)</f>
        <v/>
      </c>
      <c r="L48" s="13">
        <f>IF(J48&gt;0, J48*K48, 0)</f>
        <v/>
      </c>
    </row>
    <row r="49" ht="20" customHeight="1">
      <c r="A49" s="4" t="n">
        <v>45</v>
      </c>
      <c r="B49" s="5" t="inlineStr">
        <is>
          <t>Paspalum conjugatum</t>
        </is>
      </c>
      <c r="C49" s="6" t="inlineStr">
        <is>
          <t>Poaceae</t>
        </is>
      </c>
      <c r="D49" s="7" t="n">
        <v>0</v>
      </c>
      <c r="E49" s="7" t="n">
        <v>0</v>
      </c>
      <c r="F49" s="7" t="n">
        <v>0</v>
      </c>
      <c r="G49" s="7" t="n">
        <v>1</v>
      </c>
      <c r="H49" s="7" t="n">
        <v>0</v>
      </c>
      <c r="I49" s="7">
        <f>SUM(D49:H49)</f>
        <v/>
      </c>
      <c r="J49" s="8">
        <f>I49/$I$51</f>
        <v/>
      </c>
      <c r="K49" s="8">
        <f>IF(J49&gt;0, LN(J49), 0)</f>
        <v/>
      </c>
      <c r="L49" s="8">
        <f>IF(J49&gt;0, J49*K49, 0)</f>
        <v/>
      </c>
    </row>
    <row r="50" ht="20" customHeight="1">
      <c r="A50" s="9" t="n">
        <v>46</v>
      </c>
      <c r="B50" s="10" t="inlineStr">
        <is>
          <t>Mecardonia procumbens</t>
        </is>
      </c>
      <c r="C50" s="11" t="inlineStr">
        <is>
          <t>Plantaginaceae</t>
        </is>
      </c>
      <c r="D50" s="12" t="n">
        <v>1</v>
      </c>
      <c r="E50" s="12" t="n">
        <v>0</v>
      </c>
      <c r="F50" s="12" t="n">
        <v>0</v>
      </c>
      <c r="G50" s="12" t="n">
        <v>0</v>
      </c>
      <c r="H50" s="12" t="n">
        <v>0</v>
      </c>
      <c r="I50" s="12">
        <f>SUM(D50:H50)</f>
        <v/>
      </c>
      <c r="J50" s="13">
        <f>I50/$I$51</f>
        <v/>
      </c>
      <c r="K50" s="13">
        <f>IF(J50&gt;0, LN(J50), 0)</f>
        <v/>
      </c>
      <c r="L50" s="13">
        <f>IF(J50&gt;0, J50*K50, 0)</f>
        <v/>
      </c>
    </row>
    <row r="51" ht="24" customHeight="1">
      <c r="A51" s="14" t="inlineStr">
        <is>
          <t>Total (N)</t>
        </is>
      </c>
      <c r="B51" s="15" t="n"/>
      <c r="C51" s="15" t="n"/>
      <c r="D51" s="16">
        <f>SUM(D5:D50)</f>
        <v/>
      </c>
      <c r="E51" s="16">
        <f>SUM(E5:E50)</f>
        <v/>
      </c>
      <c r="F51" s="16">
        <f>SUM(F5:F50)</f>
        <v/>
      </c>
      <c r="G51" s="16">
        <f>SUM(G5:G50)</f>
        <v/>
      </c>
      <c r="H51" s="16">
        <f>SUM(H5:H50)</f>
        <v/>
      </c>
      <c r="I51" s="16">
        <f>SUM(I5:I50)</f>
        <v/>
      </c>
      <c r="J51" s="17">
        <f>SUM(J5:J50)</f>
        <v/>
      </c>
      <c r="K51" s="18" t="inlineStr">
        <is>
          <t>—</t>
        </is>
      </c>
      <c r="L51" s="17">
        <f>SUM(L5:L50)</f>
        <v/>
      </c>
    </row>
    <row r="52"/>
    <row r="53"/>
    <row r="54">
      <c r="A54" s="19" t="inlineStr">
        <is>
          <t>ECOLOGICAL DIVERSITY INDICES SUMMARY</t>
        </is>
      </c>
    </row>
    <row r="55" ht="20" customHeight="1">
      <c r="A55" s="20" t="inlineStr">
        <is>
          <t>Observed Species Richness (S)</t>
        </is>
      </c>
      <c r="B55" s="21" t="n"/>
      <c r="C55" s="21" t="n"/>
      <c r="D55" s="21" t="n"/>
      <c r="E55" s="22">
        <f>COUNTIF(I5:I50, "&gt;0")</f>
        <v/>
      </c>
    </row>
    <row r="56" ht="20" customHeight="1">
      <c r="A56" s="20" t="inlineStr">
        <is>
          <t>Total Individuals (N)</t>
        </is>
      </c>
      <c r="B56" s="21" t="n"/>
      <c r="C56" s="21" t="n"/>
      <c r="D56" s="21" t="n"/>
      <c r="E56" s="22">
        <f>I51</f>
        <v/>
      </c>
    </row>
    <row r="57" ht="20" customHeight="1">
      <c r="A57" s="20" t="inlineStr">
        <is>
          <t>Shannon-Wiener Index (H')</t>
        </is>
      </c>
      <c r="B57" s="21" t="n"/>
      <c r="C57" s="21" t="n"/>
      <c r="D57" s="21" t="n"/>
      <c r="E57" s="23">
        <f>-L51</f>
        <v/>
      </c>
    </row>
    <row r="58" ht="20" customHeight="1">
      <c r="A58" s="20" t="inlineStr">
        <is>
          <t>Simpson Index (D)</t>
        </is>
      </c>
      <c r="B58" s="21" t="n"/>
      <c r="C58" s="21" t="n"/>
      <c r="D58" s="21" t="n"/>
      <c r="E58" s="23">
        <f>SUMSQ(J5:J50)</f>
        <v/>
      </c>
    </row>
    <row r="59" ht="20" customHeight="1">
      <c r="A59" s="20" t="inlineStr">
        <is>
          <t>Simpson Diversity Index (1 - D)</t>
        </is>
      </c>
      <c r="B59" s="21" t="n"/>
      <c r="C59" s="21" t="n"/>
      <c r="D59" s="21" t="n"/>
      <c r="E59" s="23">
        <f>1-E58</f>
        <v/>
      </c>
    </row>
    <row r="60" ht="20" customHeight="1">
      <c r="A60" s="20" t="inlineStr">
        <is>
          <t>Pielou's Evenness Index (J')</t>
        </is>
      </c>
      <c r="B60" s="21" t="n"/>
      <c r="C60" s="21" t="n"/>
      <c r="D60" s="21" t="n"/>
      <c r="E60" s="23">
        <f>E57/LN(E55)</f>
        <v/>
      </c>
    </row>
  </sheetData>
  <mergeCells count="10">
    <mergeCell ref="A2:L2"/>
    <mergeCell ref="A56:D56"/>
    <mergeCell ref="A58:D58"/>
    <mergeCell ref="A54:E54"/>
    <mergeCell ref="A1:L1"/>
    <mergeCell ref="A55:D55"/>
    <mergeCell ref="A59:D59"/>
    <mergeCell ref="A57:D57"/>
    <mergeCell ref="A60:D60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16" customWidth="1" min="5" max="5"/>
  </cols>
  <sheetData>
    <row r="1">
      <c r="A1" s="24" t="inlineStr">
        <is>
          <t>Family-wise Plant Abundance &amp; Richness Summary</t>
        </is>
      </c>
    </row>
    <row r="3" ht="26" customHeight="1">
      <c r="A3" s="3" t="inlineStr">
        <is>
          <t>Family</t>
        </is>
      </c>
      <c r="B3" s="3" t="inlineStr">
        <is>
          <t>Number of Species</t>
        </is>
      </c>
      <c r="C3" s="3" t="inlineStr">
        <is>
          <t>Total Individuals (ni)</t>
        </is>
      </c>
      <c r="D3" s="3" t="inlineStr">
        <is>
          <t>Relative Abundance (pi)</t>
        </is>
      </c>
      <c r="E3" s="3" t="inlineStr">
        <is>
          <t>% Share</t>
        </is>
      </c>
    </row>
    <row r="4" ht="20" customHeight="1">
      <c r="A4" s="6" t="inlineStr">
        <is>
          <t>Acanthaceae</t>
        </is>
      </c>
      <c r="B4" s="7">
        <f>COUNTIFS('Quadrat Data &amp; Indices'!$C$5:$C$50, A4, 'Quadrat Data &amp; Indices'!$I$5:$I$50, "&gt;0")</f>
        <v/>
      </c>
      <c r="C4" s="7">
        <f>SUMIF('Quadrat Data &amp; Indices'!$C$5:$C$50, A4, 'Quadrat Data &amp; Indices'!$I$5:$I$50)</f>
        <v/>
      </c>
      <c r="D4" s="8">
        <f>C4/'Quadrat Data &amp; Indices'!$I$51</f>
        <v/>
      </c>
      <c r="E4" s="25">
        <f>D4</f>
        <v/>
      </c>
    </row>
    <row r="5" ht="20" customHeight="1">
      <c r="A5" s="11" t="inlineStr">
        <is>
          <t>Amaranthaceae</t>
        </is>
      </c>
      <c r="B5" s="12">
        <f>COUNTIFS('Quadrat Data &amp; Indices'!$C$5:$C$50, A5, 'Quadrat Data &amp; Indices'!$I$5:$I$50, "&gt;0")</f>
        <v/>
      </c>
      <c r="C5" s="12">
        <f>SUMIF('Quadrat Data &amp; Indices'!$C$5:$C$50, A5, 'Quadrat Data &amp; Indices'!$I$5:$I$50)</f>
        <v/>
      </c>
      <c r="D5" s="13">
        <f>C5/'Quadrat Data &amp; Indices'!$I$51</f>
        <v/>
      </c>
      <c r="E5" s="26">
        <f>D5</f>
        <v/>
      </c>
    </row>
    <row r="6" ht="20" customHeight="1">
      <c r="A6" s="6" t="inlineStr">
        <is>
          <t>Apiaceae</t>
        </is>
      </c>
      <c r="B6" s="7">
        <f>COUNTIFS('Quadrat Data &amp; Indices'!$C$5:$C$50, A6, 'Quadrat Data &amp; Indices'!$I$5:$I$50, "&gt;0")</f>
        <v/>
      </c>
      <c r="C6" s="7">
        <f>SUMIF('Quadrat Data &amp; Indices'!$C$5:$C$50, A6, 'Quadrat Data &amp; Indices'!$I$5:$I$50)</f>
        <v/>
      </c>
      <c r="D6" s="8">
        <f>C6/'Quadrat Data &amp; Indices'!$I$51</f>
        <v/>
      </c>
      <c r="E6" s="25">
        <f>D6</f>
        <v/>
      </c>
    </row>
    <row r="7" ht="20" customHeight="1">
      <c r="A7" s="11" t="inlineStr">
        <is>
          <t>Apocynaceae</t>
        </is>
      </c>
      <c r="B7" s="12">
        <f>COUNTIFS('Quadrat Data &amp; Indices'!$C$5:$C$50, A7, 'Quadrat Data &amp; Indices'!$I$5:$I$50, "&gt;0")</f>
        <v/>
      </c>
      <c r="C7" s="12">
        <f>SUMIF('Quadrat Data &amp; Indices'!$C$5:$C$50, A7, 'Quadrat Data &amp; Indices'!$I$5:$I$50)</f>
        <v/>
      </c>
      <c r="D7" s="13">
        <f>C7/'Quadrat Data &amp; Indices'!$I$51</f>
        <v/>
      </c>
      <c r="E7" s="26">
        <f>D7</f>
        <v/>
      </c>
    </row>
    <row r="8" ht="20" customHeight="1">
      <c r="A8" s="6" t="inlineStr">
        <is>
          <t>Asteraceae</t>
        </is>
      </c>
      <c r="B8" s="7">
        <f>COUNTIFS('Quadrat Data &amp; Indices'!$C$5:$C$50, A8, 'Quadrat Data &amp; Indices'!$I$5:$I$50, "&gt;0")</f>
        <v/>
      </c>
      <c r="C8" s="7">
        <f>SUMIF('Quadrat Data &amp; Indices'!$C$5:$C$50, A8, 'Quadrat Data &amp; Indices'!$I$5:$I$50)</f>
        <v/>
      </c>
      <c r="D8" s="8">
        <f>C8/'Quadrat Data &amp; Indices'!$I$51</f>
        <v/>
      </c>
      <c r="E8" s="25">
        <f>D8</f>
        <v/>
      </c>
    </row>
    <row r="9" ht="20" customHeight="1">
      <c r="A9" s="11" t="inlineStr">
        <is>
          <t>Cleomaceae</t>
        </is>
      </c>
      <c r="B9" s="12">
        <f>COUNTIFS('Quadrat Data &amp; Indices'!$C$5:$C$50, A9, 'Quadrat Data &amp; Indices'!$I$5:$I$50, "&gt;0")</f>
        <v/>
      </c>
      <c r="C9" s="12">
        <f>SUMIF('Quadrat Data &amp; Indices'!$C$5:$C$50, A9, 'Quadrat Data &amp; Indices'!$I$5:$I$50)</f>
        <v/>
      </c>
      <c r="D9" s="13">
        <f>C9/'Quadrat Data &amp; Indices'!$I$51</f>
        <v/>
      </c>
      <c r="E9" s="26">
        <f>D9</f>
        <v/>
      </c>
    </row>
    <row r="10" ht="20" customHeight="1">
      <c r="A10" s="6" t="inlineStr">
        <is>
          <t>Convolvulaceae</t>
        </is>
      </c>
      <c r="B10" s="7">
        <f>COUNTIFS('Quadrat Data &amp; Indices'!$C$5:$C$50, A10, 'Quadrat Data &amp; Indices'!$I$5:$I$50, "&gt;0")</f>
        <v/>
      </c>
      <c r="C10" s="7">
        <f>SUMIF('Quadrat Data &amp; Indices'!$C$5:$C$50, A10, 'Quadrat Data &amp; Indices'!$I$5:$I$50)</f>
        <v/>
      </c>
      <c r="D10" s="8">
        <f>C10/'Quadrat Data &amp; Indices'!$I$51</f>
        <v/>
      </c>
      <c r="E10" s="25">
        <f>D10</f>
        <v/>
      </c>
    </row>
    <row r="11" ht="20" customHeight="1">
      <c r="A11" s="11" t="inlineStr">
        <is>
          <t>Cyperaceae</t>
        </is>
      </c>
      <c r="B11" s="12">
        <f>COUNTIFS('Quadrat Data &amp; Indices'!$C$5:$C$50, A11, 'Quadrat Data &amp; Indices'!$I$5:$I$50, "&gt;0")</f>
        <v/>
      </c>
      <c r="C11" s="12">
        <f>SUMIF('Quadrat Data &amp; Indices'!$C$5:$C$50, A11, 'Quadrat Data &amp; Indices'!$I$5:$I$50)</f>
        <v/>
      </c>
      <c r="D11" s="13">
        <f>C11/'Quadrat Data &amp; Indices'!$I$51</f>
        <v/>
      </c>
      <c r="E11" s="26">
        <f>D11</f>
        <v/>
      </c>
    </row>
    <row r="12" ht="20" customHeight="1">
      <c r="A12" s="6" t="inlineStr">
        <is>
          <t>Fabaceae</t>
        </is>
      </c>
      <c r="B12" s="7">
        <f>COUNTIFS('Quadrat Data &amp; Indices'!$C$5:$C$50, A12, 'Quadrat Data &amp; Indices'!$I$5:$I$50, "&gt;0")</f>
        <v/>
      </c>
      <c r="C12" s="7">
        <f>SUMIF('Quadrat Data &amp; Indices'!$C$5:$C$50, A12, 'Quadrat Data &amp; Indices'!$I$5:$I$50)</f>
        <v/>
      </c>
      <c r="D12" s="8">
        <f>C12/'Quadrat Data &amp; Indices'!$I$51</f>
        <v/>
      </c>
      <c r="E12" s="25">
        <f>D12</f>
        <v/>
      </c>
    </row>
    <row r="13" ht="20" customHeight="1">
      <c r="A13" s="11" t="inlineStr">
        <is>
          <t>Lamiaceae</t>
        </is>
      </c>
      <c r="B13" s="12">
        <f>COUNTIFS('Quadrat Data &amp; Indices'!$C$5:$C$50, A13, 'Quadrat Data &amp; Indices'!$I$5:$I$50, "&gt;0")</f>
        <v/>
      </c>
      <c r="C13" s="12">
        <f>SUMIF('Quadrat Data &amp; Indices'!$C$5:$C$50, A13, 'Quadrat Data &amp; Indices'!$I$5:$I$50)</f>
        <v/>
      </c>
      <c r="D13" s="13">
        <f>C13/'Quadrat Data &amp; Indices'!$I$51</f>
        <v/>
      </c>
      <c r="E13" s="26">
        <f>D13</f>
        <v/>
      </c>
    </row>
    <row r="14" ht="20" customHeight="1">
      <c r="A14" s="6" t="inlineStr">
        <is>
          <t>Malvaceae</t>
        </is>
      </c>
      <c r="B14" s="7">
        <f>COUNTIFS('Quadrat Data &amp; Indices'!$C$5:$C$50, A14, 'Quadrat Data &amp; Indices'!$I$5:$I$50, "&gt;0")</f>
        <v/>
      </c>
      <c r="C14" s="7">
        <f>SUMIF('Quadrat Data &amp; Indices'!$C$5:$C$50, A14, 'Quadrat Data &amp; Indices'!$I$5:$I$50)</f>
        <v/>
      </c>
      <c r="D14" s="8">
        <f>C14/'Quadrat Data &amp; Indices'!$I$51</f>
        <v/>
      </c>
      <c r="E14" s="25">
        <f>D14</f>
        <v/>
      </c>
    </row>
    <row r="15" ht="20" customHeight="1">
      <c r="A15" s="11" t="inlineStr">
        <is>
          <t>Marsileaceae</t>
        </is>
      </c>
      <c r="B15" s="12">
        <f>COUNTIFS('Quadrat Data &amp; Indices'!$C$5:$C$50, A15, 'Quadrat Data &amp; Indices'!$I$5:$I$50, "&gt;0")</f>
        <v/>
      </c>
      <c r="C15" s="12">
        <f>SUMIF('Quadrat Data &amp; Indices'!$C$5:$C$50, A15, 'Quadrat Data &amp; Indices'!$I$5:$I$50)</f>
        <v/>
      </c>
      <c r="D15" s="13">
        <f>C15/'Quadrat Data &amp; Indices'!$I$51</f>
        <v/>
      </c>
      <c r="E15" s="26">
        <f>D15</f>
        <v/>
      </c>
    </row>
    <row r="16" ht="20" customHeight="1">
      <c r="A16" s="6" t="inlineStr">
        <is>
          <t>Mazaceae</t>
        </is>
      </c>
      <c r="B16" s="7">
        <f>COUNTIFS('Quadrat Data &amp; Indices'!$C$5:$C$50, A16, 'Quadrat Data &amp; Indices'!$I$5:$I$50, "&gt;0")</f>
        <v/>
      </c>
      <c r="C16" s="7">
        <f>SUMIF('Quadrat Data &amp; Indices'!$C$5:$C$50, A16, 'Quadrat Data &amp; Indices'!$I$5:$I$50)</f>
        <v/>
      </c>
      <c r="D16" s="8">
        <f>C16/'Quadrat Data &amp; Indices'!$I$51</f>
        <v/>
      </c>
      <c r="E16" s="25">
        <f>D16</f>
        <v/>
      </c>
    </row>
    <row r="17" ht="20" customHeight="1">
      <c r="A17" s="11" t="inlineStr">
        <is>
          <t>Menispermaceae</t>
        </is>
      </c>
      <c r="B17" s="12">
        <f>COUNTIFS('Quadrat Data &amp; Indices'!$C$5:$C$50, A17, 'Quadrat Data &amp; Indices'!$I$5:$I$50, "&gt;0")</f>
        <v/>
      </c>
      <c r="C17" s="12">
        <f>SUMIF('Quadrat Data &amp; Indices'!$C$5:$C$50, A17, 'Quadrat Data &amp; Indices'!$I$5:$I$50)</f>
        <v/>
      </c>
      <c r="D17" s="13">
        <f>C17/'Quadrat Data &amp; Indices'!$I$51</f>
        <v/>
      </c>
      <c r="E17" s="26">
        <f>D17</f>
        <v/>
      </c>
    </row>
    <row r="18" ht="20" customHeight="1">
      <c r="A18" s="6" t="inlineStr">
        <is>
          <t>Oxalidaceae</t>
        </is>
      </c>
      <c r="B18" s="7">
        <f>COUNTIFS('Quadrat Data &amp; Indices'!$C$5:$C$50, A18, 'Quadrat Data &amp; Indices'!$I$5:$I$50, "&gt;0")</f>
        <v/>
      </c>
      <c r="C18" s="7">
        <f>SUMIF('Quadrat Data &amp; Indices'!$C$5:$C$50, A18, 'Quadrat Data &amp; Indices'!$I$5:$I$50)</f>
        <v/>
      </c>
      <c r="D18" s="8">
        <f>C18/'Quadrat Data &amp; Indices'!$I$51</f>
        <v/>
      </c>
      <c r="E18" s="25">
        <f>D18</f>
        <v/>
      </c>
    </row>
    <row r="19" ht="20" customHeight="1">
      <c r="A19" s="11" t="inlineStr">
        <is>
          <t>Phyllanthaceae</t>
        </is>
      </c>
      <c r="B19" s="12">
        <f>COUNTIFS('Quadrat Data &amp; Indices'!$C$5:$C$50, A19, 'Quadrat Data &amp; Indices'!$I$5:$I$50, "&gt;0")</f>
        <v/>
      </c>
      <c r="C19" s="12">
        <f>SUMIF('Quadrat Data &amp; Indices'!$C$5:$C$50, A19, 'Quadrat Data &amp; Indices'!$I$5:$I$50)</f>
        <v/>
      </c>
      <c r="D19" s="13">
        <f>C19/'Quadrat Data &amp; Indices'!$I$51</f>
        <v/>
      </c>
      <c r="E19" s="26">
        <f>D19</f>
        <v/>
      </c>
    </row>
    <row r="20" ht="20" customHeight="1">
      <c r="A20" s="6" t="inlineStr">
        <is>
          <t>Piperaceae</t>
        </is>
      </c>
      <c r="B20" s="7">
        <f>COUNTIFS('Quadrat Data &amp; Indices'!$C$5:$C$50, A20, 'Quadrat Data &amp; Indices'!$I$5:$I$50, "&gt;0")</f>
        <v/>
      </c>
      <c r="C20" s="7">
        <f>SUMIF('Quadrat Data &amp; Indices'!$C$5:$C$50, A20, 'Quadrat Data &amp; Indices'!$I$5:$I$50)</f>
        <v/>
      </c>
      <c r="D20" s="8">
        <f>C20/'Quadrat Data &amp; Indices'!$I$51</f>
        <v/>
      </c>
      <c r="E20" s="25">
        <f>D20</f>
        <v/>
      </c>
    </row>
    <row r="21" ht="20" customHeight="1">
      <c r="A21" s="11" t="inlineStr">
        <is>
          <t>Plantaginaceae</t>
        </is>
      </c>
      <c r="B21" s="12">
        <f>COUNTIFS('Quadrat Data &amp; Indices'!$C$5:$C$50, A21, 'Quadrat Data &amp; Indices'!$I$5:$I$50, "&gt;0")</f>
        <v/>
      </c>
      <c r="C21" s="12">
        <f>SUMIF('Quadrat Data &amp; Indices'!$C$5:$C$50, A21, 'Quadrat Data &amp; Indices'!$I$5:$I$50)</f>
        <v/>
      </c>
      <c r="D21" s="13">
        <f>C21/'Quadrat Data &amp; Indices'!$I$51</f>
        <v/>
      </c>
      <c r="E21" s="26">
        <f>D21</f>
        <v/>
      </c>
    </row>
    <row r="22" ht="20" customHeight="1">
      <c r="A22" s="6" t="inlineStr">
        <is>
          <t>Poaceae</t>
        </is>
      </c>
      <c r="B22" s="7">
        <f>COUNTIFS('Quadrat Data &amp; Indices'!$C$5:$C$50, A22, 'Quadrat Data &amp; Indices'!$I$5:$I$50, "&gt;0")</f>
        <v/>
      </c>
      <c r="C22" s="7">
        <f>SUMIF('Quadrat Data &amp; Indices'!$C$5:$C$50, A22, 'Quadrat Data &amp; Indices'!$I$5:$I$50)</f>
        <v/>
      </c>
      <c r="D22" s="8">
        <f>C22/'Quadrat Data &amp; Indices'!$I$51</f>
        <v/>
      </c>
      <c r="E22" s="25">
        <f>D22</f>
        <v/>
      </c>
    </row>
    <row r="23" ht="20" customHeight="1">
      <c r="A23" s="11" t="inlineStr">
        <is>
          <t>Polygonaceae</t>
        </is>
      </c>
      <c r="B23" s="12">
        <f>COUNTIFS('Quadrat Data &amp; Indices'!$C$5:$C$50, A23, 'Quadrat Data &amp; Indices'!$I$5:$I$50, "&gt;0")</f>
        <v/>
      </c>
      <c r="C23" s="12">
        <f>SUMIF('Quadrat Data &amp; Indices'!$C$5:$C$50, A23, 'Quadrat Data &amp; Indices'!$I$5:$I$50)</f>
        <v/>
      </c>
      <c r="D23" s="13">
        <f>C23/'Quadrat Data &amp; Indices'!$I$51</f>
        <v/>
      </c>
      <c r="E23" s="26">
        <f>D23</f>
        <v/>
      </c>
    </row>
    <row r="24" ht="20" customHeight="1">
      <c r="A24" s="6" t="inlineStr">
        <is>
          <t>Rubiaceae</t>
        </is>
      </c>
      <c r="B24" s="7">
        <f>COUNTIFS('Quadrat Data &amp; Indices'!$C$5:$C$50, A24, 'Quadrat Data &amp; Indices'!$I$5:$I$50, "&gt;0")</f>
        <v/>
      </c>
      <c r="C24" s="7">
        <f>SUMIF('Quadrat Data &amp; Indices'!$C$5:$C$50, A24, 'Quadrat Data &amp; Indices'!$I$5:$I$50)</f>
        <v/>
      </c>
      <c r="D24" s="8">
        <f>C24/'Quadrat Data &amp; Indices'!$I$51</f>
        <v/>
      </c>
      <c r="E24" s="25">
        <f>D24</f>
        <v/>
      </c>
    </row>
    <row r="25" ht="20" customHeight="1">
      <c r="A25" s="11" t="inlineStr">
        <is>
          <t>Solanaceae</t>
        </is>
      </c>
      <c r="B25" s="12">
        <f>COUNTIFS('Quadrat Data &amp; Indices'!$C$5:$C$50, A25, 'Quadrat Data &amp; Indices'!$I$5:$I$50, "&gt;0")</f>
        <v/>
      </c>
      <c r="C25" s="12">
        <f>SUMIF('Quadrat Data &amp; Indices'!$C$5:$C$50, A25, 'Quadrat Data &amp; Indices'!$I$5:$I$50)</f>
        <v/>
      </c>
      <c r="D25" s="13">
        <f>C25/'Quadrat Data &amp; Indices'!$I$51</f>
        <v/>
      </c>
      <c r="E25" s="26">
        <f>D25</f>
        <v/>
      </c>
    </row>
    <row r="26" ht="20" customHeight="1">
      <c r="A26" s="6" t="inlineStr">
        <is>
          <t>Verbenaceae</t>
        </is>
      </c>
      <c r="B26" s="7">
        <f>COUNTIFS('Quadrat Data &amp; Indices'!$C$5:$C$50, A26, 'Quadrat Data &amp; Indices'!$I$5:$I$50, "&gt;0")</f>
        <v/>
      </c>
      <c r="C26" s="7">
        <f>SUMIF('Quadrat Data &amp; Indices'!$C$5:$C$50, A26, 'Quadrat Data &amp; Indices'!$I$5:$I$50)</f>
        <v/>
      </c>
      <c r="D26" s="8">
        <f>C26/'Quadrat Data &amp; Indices'!$I$51</f>
        <v/>
      </c>
      <c r="E26" s="25">
        <f>D26</f>
        <v/>
      </c>
    </row>
    <row r="27">
      <c r="A27" s="27" t="inlineStr">
        <is>
          <t>Total</t>
        </is>
      </c>
      <c r="B27" s="28">
        <f>SUM(B4:B26)</f>
        <v/>
      </c>
      <c r="C27" s="28">
        <f>SUM(C4:C26)</f>
        <v/>
      </c>
      <c r="D27" s="29">
        <f>SUM(D4:D26)</f>
        <v/>
      </c>
      <c r="E27" s="30">
        <f>SUM(E4:E26)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2026-10-29T12:46:32Z</dcterms:created>
  <dcterms:modified xmlns:dcterms="http://purl.org/dc/terms/" xmlns:xsi="http://www.w3.org/2001/XMLSchema-instance" xsi:type="dcterms:W3CDTF">2026-10-29T12:46:32Z</dcterms:modified>
</cp:coreProperties>
</file>